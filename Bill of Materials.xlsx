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phj0\Desktop\UW\Pozzo Lab\Science Jubilee Modular Equipment System\"/>
    </mc:Choice>
  </mc:AlternateContent>
  <xr:revisionPtr revIDLastSave="0" documentId="13_ncr:1_{8722FFDE-E035-4F03-9EA5-FF955C301BE3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H&amp;S Module" sheetId="1" r:id="rId1"/>
    <sheet name="Control Hub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C5" i="2"/>
  <c r="F4" i="2"/>
  <c r="E4" i="2"/>
  <c r="D5" i="2"/>
  <c r="E5" i="2" s="1"/>
  <c r="F5" i="2" s="1"/>
  <c r="F7" i="2" s="1"/>
  <c r="D4" i="2"/>
</calcChain>
</file>

<file path=xl/sharedStrings.xml><?xml version="1.0" encoding="utf-8"?>
<sst xmlns="http://schemas.openxmlformats.org/spreadsheetml/2006/main" count="41" uniqueCount="38">
  <si>
    <t>Motor</t>
  </si>
  <si>
    <t>PPN7PA12C1</t>
  </si>
  <si>
    <t>Part</t>
  </si>
  <si>
    <t>Serial</t>
  </si>
  <si>
    <t>Link</t>
  </si>
  <si>
    <t>Quantity</t>
  </si>
  <si>
    <t>Price</t>
  </si>
  <si>
    <t>https://www.digikey.com/en/products/detail/nmb-technologies-corporation/PPN7PA12C1/2417079</t>
  </si>
  <si>
    <t>Magnet</t>
  </si>
  <si>
    <t>https://www.digikey.com/en/products/detail/radial-magnets-inc/9043/6030788</t>
  </si>
  <si>
    <t>https://www.digikey.com/en/products/detail/panasonic-electronic-components/ERT-J1VG103FA/526532</t>
  </si>
  <si>
    <t>Thermistor</t>
  </si>
  <si>
    <t>ERT-J1VG103FA</t>
  </si>
  <si>
    <t>STM32 IO</t>
  </si>
  <si>
    <t>Heat MOSFET</t>
  </si>
  <si>
    <t>Motor mos</t>
  </si>
  <si>
    <t>UART</t>
  </si>
  <si>
    <t># of Modules</t>
  </si>
  <si>
    <t>Component Current</t>
  </si>
  <si>
    <t>Total Power</t>
  </si>
  <si>
    <t>Hotplate</t>
  </si>
  <si>
    <t xml:space="preserve">Module Current </t>
  </si>
  <si>
    <t xml:space="preserve">Module Power </t>
  </si>
  <si>
    <t>Voltage (V)</t>
  </si>
  <si>
    <t>Total Power:</t>
  </si>
  <si>
    <t xml:space="preserve">        Current:</t>
  </si>
  <si>
    <t>Connectors</t>
  </si>
  <si>
    <t>NUCLEO-L432KC</t>
  </si>
  <si>
    <t>Display</t>
  </si>
  <si>
    <t>https://www.digikey.com/en/products/detail/az-displays/ATM0130B3/12168269</t>
  </si>
  <si>
    <t>Disp Conn</t>
  </si>
  <si>
    <t>https://www.digikey.com/en/products/detail/hirose-electric-co-ltd/FH12-12S-0-5SH-55/1110374</t>
  </si>
  <si>
    <t>Power Supply</t>
  </si>
  <si>
    <t>LRS-200-5</t>
  </si>
  <si>
    <t>AC Socket</t>
  </si>
  <si>
    <t>DC11.0001.003</t>
  </si>
  <si>
    <t>https://www.digikey.com/en/products/detail/schurter-inc/DC11-0001-003/641544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</si>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</sst>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7"/>
      <color rgb="FF222222"/>
      <name val="Noto Sans"/>
      <family val="2"/>
      <charset val="1"/>
    </font>
    <font>
      <sz val="7"/>
      <color rgb="FF222222"/>
      <name val="Noto Sans"/>
      <family val="2"/>
      <charset val="1"/>
    </font>
    <font>
      <u/>
      <sz val="11"/>
      <color theme="10"/>
      <name val="Calibri"/>
      <family val="2"/>
      <scheme val="minor"/>
    </font>
    <font>
      <sz val="7"/>
      <color theme="1"/>
      <name val="Noto San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8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1"/>
    <xf numFmtId="49" fontId="4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panasonic-electronic-components/ERT-J1VG103FA/526532" TargetMode="External"/><Relationship Id="rId2" Type="http://schemas.openxmlformats.org/officeDocument/2006/relationships/hyperlink" Target="https://www.digikey.com/en/products/detail/stmicroelectronics/NUCLEO-L432KC/6132763" TargetMode="External"/><Relationship Id="rId1" Type="http://schemas.openxmlformats.org/officeDocument/2006/relationships/hyperlink" Target="https://www.digikey.com/en/products/detail/nmb-technologies-corporation/PPN7PA12C1/2417079" TargetMode="External"/><Relationship Id="rId4" Type="http://schemas.openxmlformats.org/officeDocument/2006/relationships/hyperlink" Target="https://www.digikey.com/en/products/detail/radial-magnets-inc/9043/603078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schurter-inc/DC11-0001-003/641544" TargetMode="External"/><Relationship Id="rId1" Type="http://schemas.openxmlformats.org/officeDocument/2006/relationships/hyperlink" Target="https://www.digikey.com/en/products/detail/az-displays/ATM0130B3/12168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opLeftCell="A6" workbookViewId="0">
      <selection activeCell="C5" sqref="C5"/>
    </sheetView>
  </sheetViews>
  <sheetFormatPr defaultRowHeight="14.25" x14ac:dyDescent="0.45"/>
  <sheetData>
    <row r="1" spans="1:5" x14ac:dyDescent="0.4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3" spans="1:5" x14ac:dyDescent="0.45">
      <c r="A3" t="s">
        <v>0</v>
      </c>
      <c r="B3" s="1" t="s">
        <v>1</v>
      </c>
      <c r="C3" s="4" t="s">
        <v>7</v>
      </c>
      <c r="D3">
        <v>12</v>
      </c>
      <c r="E3" s="2">
        <v>3.2890000000000001</v>
      </c>
    </row>
    <row r="4" spans="1:5" x14ac:dyDescent="0.45">
      <c r="A4" t="s">
        <v>8</v>
      </c>
      <c r="B4">
        <v>9043</v>
      </c>
      <c r="C4" s="4" t="s">
        <v>9</v>
      </c>
      <c r="D4">
        <v>24</v>
      </c>
      <c r="E4" s="2">
        <v>0.38</v>
      </c>
    </row>
    <row r="5" spans="1:5" ht="21" x14ac:dyDescent="0.45">
      <c r="A5" t="s">
        <v>11</v>
      </c>
      <c r="B5" s="3" t="s">
        <v>12</v>
      </c>
      <c r="C5" s="4" t="s">
        <v>10</v>
      </c>
    </row>
    <row r="8" spans="1:5" x14ac:dyDescent="0.45">
      <c r="A8" t="s">
        <v>13</v>
      </c>
      <c r="B8" t="s">
        <v>11</v>
      </c>
      <c r="C8">
        <v>4</v>
      </c>
    </row>
    <row r="9" spans="1:5" x14ac:dyDescent="0.45">
      <c r="B9" t="s">
        <v>14</v>
      </c>
      <c r="C9">
        <v>4</v>
      </c>
    </row>
    <row r="10" spans="1:5" x14ac:dyDescent="0.45">
      <c r="B10" t="s">
        <v>15</v>
      </c>
      <c r="C10">
        <v>7</v>
      </c>
    </row>
    <row r="11" spans="1:5" x14ac:dyDescent="0.45">
      <c r="B11" t="s">
        <v>16</v>
      </c>
      <c r="C11">
        <v>2</v>
      </c>
    </row>
    <row r="14" spans="1:5" x14ac:dyDescent="0.45">
      <c r="A14" t="s">
        <v>26</v>
      </c>
    </row>
    <row r="16" spans="1:5" x14ac:dyDescent="0.45">
      <c r="A16" s="4" t="s">
        <v>27</v>
      </c>
    </row>
  </sheetData>
  <hyperlinks>
    <hyperlink ref="C3" r:id="rId1" xr:uid="{F70F71F7-3005-4EF6-96CA-26ED249ABDFE}"/>
    <hyperlink ref="A16" r:id="rId2" display="https://www.digikey.com/en/products/detail/stmicroelectronics/NUCLEO-L432KC/6132763" xr:uid="{A82E0A74-94CE-43BF-A622-59D722758FA2}"/>
    <hyperlink ref="C5" r:id="rId3" xr:uid="{B08845D2-D37A-424E-A3F7-F4FBD6DCEC12}"/>
    <hyperlink ref="C4" r:id="rId4" xr:uid="{0801C48D-72E1-49CB-9C70-3FDC62B513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F2ED5-99EB-4A54-8082-842D732B373B}">
  <dimension ref="A3:C8"/>
  <sheetViews>
    <sheetView tabSelected="1" workbookViewId="0">
      <selection activeCell="A8" sqref="A8"/>
    </sheetView>
  </sheetViews>
  <sheetFormatPr defaultRowHeight="14.25" x14ac:dyDescent="0.45"/>
  <cols>
    <col min="2" max="2" width="17.46484375" customWidth="1"/>
  </cols>
  <sheetData>
    <row r="3" spans="1:3" x14ac:dyDescent="0.45">
      <c r="A3" t="s">
        <v>28</v>
      </c>
      <c r="B3" s="4" t="s">
        <v>29</v>
      </c>
    </row>
    <row r="4" spans="1:3" x14ac:dyDescent="0.45">
      <c r="A4" t="s">
        <v>30</v>
      </c>
      <c r="B4" t="s">
        <v>31</v>
      </c>
    </row>
    <row r="6" spans="1:3" x14ac:dyDescent="0.45">
      <c r="A6" t="s">
        <v>32</v>
      </c>
      <c r="B6" t="s">
        <v>33</v>
      </c>
    </row>
    <row r="7" spans="1:3" x14ac:dyDescent="0.45">
      <c r="A7" t="s">
        <v>34</v>
      </c>
      <c r="B7" s="5" t="s">
        <v>35</v>
      </c>
      <c r="C7" s="4" t="s">
        <v>36</v>
      </c>
    </row>
    <row r="8" spans="1:3" x14ac:dyDescent="0.45">
      <c r="A8" t="s">
        <v>37</v>
      </c>
    </row>
  </sheetData>
  <hyperlinks>
    <hyperlink ref="B3" r:id="rId1" xr:uid="{8A594963-6D26-4EA7-82A3-83166C322C96}"/>
    <hyperlink ref="C7" r:id="rId2" xr:uid="{ADFB1CB2-EE58-4210-8B6F-51C4218CE83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277B-73D0-4A2E-BD18-95B90FF1556C}">
  <dimension ref="A1:F8"/>
  <sheetViews>
    <sheetView workbookViewId="0">
      <selection activeCell="E13" sqref="E13"/>
    </sheetView>
  </sheetViews>
  <sheetFormatPr defaultRowHeight="14.25" x14ac:dyDescent="0.45"/>
  <cols>
    <col min="1" max="1" width="11.46484375" customWidth="1"/>
    <col min="3" max="3" width="16.73046875" customWidth="1"/>
    <col min="4" max="4" width="14.3984375" customWidth="1"/>
    <col min="5" max="5" width="13.19921875" customWidth="1"/>
    <col min="6" max="6" width="10.33203125" customWidth="1"/>
  </cols>
  <sheetData>
    <row r="1" spans="1:6" x14ac:dyDescent="0.45">
      <c r="A1" t="s">
        <v>23</v>
      </c>
      <c r="B1">
        <v>5</v>
      </c>
    </row>
    <row r="2" spans="1:6" x14ac:dyDescent="0.45">
      <c r="A2" t="s">
        <v>17</v>
      </c>
      <c r="B2">
        <v>6</v>
      </c>
    </row>
    <row r="3" spans="1:6" x14ac:dyDescent="0.45">
      <c r="B3" t="s">
        <v>5</v>
      </c>
      <c r="C3" t="s">
        <v>18</v>
      </c>
      <c r="D3" t="s">
        <v>21</v>
      </c>
      <c r="E3" t="s">
        <v>22</v>
      </c>
      <c r="F3" t="s">
        <v>19</v>
      </c>
    </row>
    <row r="4" spans="1:6" x14ac:dyDescent="0.45">
      <c r="A4" t="s">
        <v>0</v>
      </c>
      <c r="B4">
        <v>12</v>
      </c>
      <c r="C4">
        <v>0.15</v>
      </c>
      <c r="D4">
        <f>B4*C4</f>
        <v>1.7999999999999998</v>
      </c>
      <c r="E4">
        <f>D4*B1</f>
        <v>9</v>
      </c>
      <c r="F4">
        <f>E4*B2</f>
        <v>54</v>
      </c>
    </row>
    <row r="5" spans="1:6" x14ac:dyDescent="0.45">
      <c r="A5" t="s">
        <v>20</v>
      </c>
      <c r="B5">
        <v>4</v>
      </c>
      <c r="C5">
        <f>B1/6.48</f>
        <v>0.77160493827160492</v>
      </c>
      <c r="D5">
        <f>B5*C5</f>
        <v>3.0864197530864197</v>
      </c>
      <c r="E5">
        <f>B1*D5</f>
        <v>15.432098765432098</v>
      </c>
      <c r="F5">
        <f>E5*B2</f>
        <v>92.592592592592581</v>
      </c>
    </row>
    <row r="7" spans="1:6" x14ac:dyDescent="0.45">
      <c r="E7" t="s">
        <v>24</v>
      </c>
      <c r="F7">
        <f>F4+F5</f>
        <v>146.59259259259258</v>
      </c>
    </row>
    <row r="8" spans="1:6" x14ac:dyDescent="0.45">
      <c r="E8" t="s">
        <v>25</v>
      </c>
      <c r="F8">
        <f>F7/5</f>
        <v>29.318518518518516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H&amp;S Module</vt:lpstr>
      <vt:lpstr>Control Hub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Heredia-Jantz</dc:creator>
  <cp:lastModifiedBy>Rudy P Heredia-Jantz</cp:lastModifiedBy>
  <dcterms:created xsi:type="dcterms:W3CDTF">2015-06-05T18:17:20Z</dcterms:created>
  <dcterms:modified xsi:type="dcterms:W3CDTF">2026-03-12T02:57:04Z</dcterms:modified>
</cp:coreProperties>
</file>